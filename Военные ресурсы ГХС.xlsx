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rge\Downloads\HHS\HyperHotSeat\"/>
    </mc:Choice>
  </mc:AlternateContent>
  <bookViews>
    <workbookView xWindow="0" yWindow="0" windowWidth="28800" windowHeight="117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28" i="1" l="1"/>
  <c r="S29" i="1"/>
  <c r="T29" i="1" s="1"/>
  <c r="S30" i="1"/>
  <c r="S31" i="1"/>
  <c r="S32" i="1"/>
  <c r="S33" i="1"/>
  <c r="S34" i="1"/>
  <c r="S35" i="1"/>
  <c r="S27" i="1"/>
  <c r="S17" i="1"/>
  <c r="S18" i="1"/>
  <c r="S19" i="1"/>
  <c r="S20" i="1"/>
  <c r="S21" i="1"/>
  <c r="S22" i="1"/>
  <c r="S23" i="1"/>
  <c r="S24" i="1"/>
  <c r="S16" i="1"/>
  <c r="S11" i="1"/>
  <c r="S12" i="1"/>
  <c r="S10" i="1"/>
  <c r="S4" i="1"/>
  <c r="S5" i="1"/>
  <c r="S6" i="1"/>
  <c r="S7" i="1"/>
  <c r="T7" i="1" s="1"/>
  <c r="S8" i="1"/>
  <c r="P28" i="1"/>
  <c r="P29" i="1"/>
  <c r="P30" i="1"/>
  <c r="P31" i="1"/>
  <c r="P32" i="1"/>
  <c r="P33" i="1"/>
  <c r="P34" i="1"/>
  <c r="P35" i="1"/>
  <c r="P27" i="1"/>
  <c r="P17" i="1"/>
  <c r="P18" i="1"/>
  <c r="P19" i="1"/>
  <c r="P20" i="1"/>
  <c r="P21" i="1"/>
  <c r="P22" i="1"/>
  <c r="P23" i="1"/>
  <c r="P24" i="1"/>
  <c r="P16" i="1"/>
  <c r="P11" i="1"/>
  <c r="P12" i="1"/>
  <c r="P10" i="1"/>
  <c r="P5" i="1"/>
  <c r="P6" i="1"/>
  <c r="P7" i="1"/>
  <c r="P4" i="1"/>
  <c r="R36" i="1"/>
  <c r="R25" i="1"/>
  <c r="R13" i="1"/>
  <c r="R8" i="1"/>
  <c r="Q36" i="1"/>
  <c r="Q8" i="1"/>
  <c r="Q13" i="1"/>
  <c r="Q25" i="1"/>
  <c r="P36" i="1"/>
  <c r="P25" i="1"/>
  <c r="P13" i="1"/>
  <c r="P8" i="1"/>
  <c r="T6" i="1" l="1"/>
  <c r="T33" i="1"/>
  <c r="T32" i="1"/>
  <c r="T30" i="1"/>
  <c r="T24" i="1"/>
  <c r="T23" i="1"/>
  <c r="T22" i="1"/>
  <c r="T21" i="1"/>
  <c r="T20" i="1"/>
  <c r="T35" i="1"/>
  <c r="T19" i="1"/>
  <c r="T18" i="1"/>
  <c r="T34" i="1"/>
  <c r="T17" i="1"/>
  <c r="T16" i="1"/>
  <c r="T12" i="1"/>
  <c r="S13" i="1"/>
  <c r="T13" i="1" s="1"/>
  <c r="T11" i="1"/>
  <c r="S25" i="1"/>
  <c r="T25" i="1" s="1"/>
  <c r="U25" i="1" s="1"/>
  <c r="T10" i="1"/>
  <c r="T5" i="1"/>
  <c r="T8" i="1"/>
  <c r="U6" i="1" s="1"/>
  <c r="T4" i="1"/>
  <c r="T31" i="1"/>
  <c r="T28" i="1"/>
  <c r="S36" i="1"/>
  <c r="T36" i="1" s="1"/>
  <c r="T27" i="1"/>
  <c r="U4" i="1" l="1"/>
  <c r="U8" i="1"/>
  <c r="U7" i="1"/>
  <c r="U5" i="1"/>
  <c r="U13" i="1"/>
  <c r="U12" i="1"/>
  <c r="U11" i="1"/>
  <c r="U24" i="1"/>
  <c r="U17" i="1"/>
  <c r="U20" i="1"/>
  <c r="U22" i="1"/>
  <c r="U19" i="1"/>
  <c r="U16" i="1"/>
  <c r="U18" i="1"/>
  <c r="U21" i="1"/>
  <c r="U23" i="1"/>
  <c r="U10" i="1"/>
  <c r="U29" i="1"/>
  <c r="U30" i="1"/>
  <c r="U34" i="1"/>
  <c r="U35" i="1"/>
  <c r="U31" i="1"/>
  <c r="U32" i="1"/>
  <c r="U36" i="1"/>
  <c r="U27" i="1"/>
  <c r="U33" i="1"/>
  <c r="U28" i="1"/>
</calcChain>
</file>

<file path=xl/sharedStrings.xml><?xml version="1.0" encoding="utf-8"?>
<sst xmlns="http://schemas.openxmlformats.org/spreadsheetml/2006/main" count="88" uniqueCount="54">
  <si>
    <t>Война Либерии против Египта</t>
  </si>
  <si>
    <t>Вложения в Либерию</t>
  </si>
  <si>
    <t>Страны</t>
  </si>
  <si>
    <t>Ресурсы</t>
  </si>
  <si>
    <t>Золото (деньги)</t>
  </si>
  <si>
    <t>Бензин</t>
  </si>
  <si>
    <t>Боеприпасы</t>
  </si>
  <si>
    <t>Кремниевая эл</t>
  </si>
  <si>
    <t>Аналоговая эл</t>
  </si>
  <si>
    <t>Композитная бр</t>
  </si>
  <si>
    <t>Стальная бр</t>
  </si>
  <si>
    <t>Воен одежда</t>
  </si>
  <si>
    <t>Аккумулятор</t>
  </si>
  <si>
    <t>Пенициллин</t>
  </si>
  <si>
    <t>Британия</t>
  </si>
  <si>
    <t>Германия</t>
  </si>
  <si>
    <t>Франция</t>
  </si>
  <si>
    <t>Конго</t>
  </si>
  <si>
    <t>Вложения в Египет</t>
  </si>
  <si>
    <t>Войны</t>
  </si>
  <si>
    <t>Тип вложения</t>
  </si>
  <si>
    <t>Италия</t>
  </si>
  <si>
    <t>Балканы</t>
  </si>
  <si>
    <t>Турция</t>
  </si>
  <si>
    <t>Иран</t>
  </si>
  <si>
    <t>Аравия</t>
  </si>
  <si>
    <t>Китай</t>
  </si>
  <si>
    <t>Пакистан</t>
  </si>
  <si>
    <t>Индокитай</t>
  </si>
  <si>
    <t>Малайзия</t>
  </si>
  <si>
    <t>Индонезия</t>
  </si>
  <si>
    <t>Корея</t>
  </si>
  <si>
    <t>Япония</t>
  </si>
  <si>
    <t>Вложения в Эфиопию</t>
  </si>
  <si>
    <t>Вложения в ЮАР</t>
  </si>
  <si>
    <t>Война эфиопии против ЮАР</t>
  </si>
  <si>
    <t>США</t>
  </si>
  <si>
    <t>Канада</t>
  </si>
  <si>
    <t>Мексика</t>
  </si>
  <si>
    <t>Панама</t>
  </si>
  <si>
    <t>Колумбия</t>
  </si>
  <si>
    <t>Бразилия</t>
  </si>
  <si>
    <t>Аргентина</t>
  </si>
  <si>
    <t>Мадагаскар</t>
  </si>
  <si>
    <t>Индия</t>
  </si>
  <si>
    <t>Чистая денежная сумма</t>
  </si>
  <si>
    <t>Сумма ресурсов (без боеприпасов)</t>
  </si>
  <si>
    <t>Сумма ресурсов (общая)</t>
  </si>
  <si>
    <t>Общая денежная сумма</t>
  </si>
  <si>
    <t>Процент бонуса при победе (суммарно до 80)</t>
  </si>
  <si>
    <t>Цена ресурса</t>
  </si>
  <si>
    <t>Сумма ресурсов (переведенная в деньги * 25)</t>
  </si>
  <si>
    <t>Резина (+пластик)</t>
  </si>
  <si>
    <t>Резина (+ пластик)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</si>
</sst>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 x14ac:knownFonts="1">
    <font>
      <sz val="11"/>
      <color theme="1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4">
    <xf numFmtId="0" fontId="0" fillId="0" borderId="0" xfId="0"/>
    <xf numFmtId="0" fontId="1" fillId="2" borderId="0" xfId="1"/>
    <xf numFmtId="0" fontId="2" fillId="3" borderId="0" xfId="2"/>
    <xf numFmtId="164" fontId="0" fillId="0" borderId="0" xfId="0" applyNumberFormat="1"/>
  </cellXfs>
  <cellStyles count="3">
    <cellStyle name="Нейтральный" xfId="2" builtinId="28"/>
    <cellStyle name="Обычный" xfId="0" builtinId="0"/>
    <cellStyle name="Плохой" xfId="1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FD6-46CE-8BCC-930152BDF20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FD6-46CE-8BCC-930152BDF20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FD6-46CE-8BCC-930152BDF20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FD6-46CE-8BCC-930152BDF201}"/>
              </c:ext>
            </c:extLst>
          </c:dPt>
          <c:val>
            <c:numRef>
              <c:f>Лист1!$U$4:$U$7</c:f>
              <c:numCache>
                <c:formatCode>0.0</c:formatCode>
                <c:ptCount val="4"/>
                <c:pt idx="0">
                  <c:v>31.699225949133801</c:v>
                </c:pt>
                <c:pt idx="1">
                  <c:v>27.158127534095094</c:v>
                </c:pt>
                <c:pt idx="2">
                  <c:v>18.193881312200514</c:v>
                </c:pt>
                <c:pt idx="3">
                  <c:v>2.9487652045705861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EB-4F90-9903-0C708C538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B7A-4CD1-9365-C0802DCDA20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B7A-4CD1-9365-C0802DCDA20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B7A-4CD1-9365-C0802DCDA202}"/>
              </c:ext>
            </c:extLst>
          </c:dPt>
          <c:val>
            <c:numRef>
              <c:f>Лист1!$U$10:$U$12</c:f>
              <c:numCache>
                <c:formatCode>0.0</c:formatCode>
                <c:ptCount val="3"/>
                <c:pt idx="0">
                  <c:v>27.191188040912667</c:v>
                </c:pt>
                <c:pt idx="1">
                  <c:v>24.358772619984265</c:v>
                </c:pt>
                <c:pt idx="2">
                  <c:v>28.450039339103071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68-4BFE-AF09-1DBF21507F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980-410B-BF48-56DFC29628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980-410B-BF48-56DFC29628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980-410B-BF48-56DFC29628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980-410B-BF48-56DFC29628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980-410B-BF48-56DFC29628B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980-410B-BF48-56DFC29628B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980-410B-BF48-56DFC29628B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980-410B-BF48-56DFC29628B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B980-410B-BF48-56DFC29628B4}"/>
              </c:ext>
            </c:extLst>
          </c:dPt>
          <c:val>
            <c:numRef>
              <c:f>Лист1!$U$16:$U$24</c:f>
              <c:numCache>
                <c:formatCode>0.0</c:formatCode>
                <c:ptCount val="9"/>
                <c:pt idx="0">
                  <c:v>12.777730045536558</c:v>
                </c:pt>
                <c:pt idx="1">
                  <c:v>15.307156972248475</c:v>
                </c:pt>
                <c:pt idx="2">
                  <c:v>12.743362831858407</c:v>
                </c:pt>
                <c:pt idx="3">
                  <c:v>3.3542400549875415</c:v>
                </c:pt>
                <c:pt idx="4">
                  <c:v>11.671105765100094</c:v>
                </c:pt>
                <c:pt idx="5">
                  <c:v>7.1346335595841568</c:v>
                </c:pt>
                <c:pt idx="6">
                  <c:v>7.6432683220207922</c:v>
                </c:pt>
                <c:pt idx="7">
                  <c:v>2.7906177506658647</c:v>
                </c:pt>
                <c:pt idx="8">
                  <c:v>6.57788469799811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46-4C16-BC67-9CAF97B32E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A71-43C8-B214-E24237991E3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A71-43C8-B214-E24237991E3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A71-43C8-B214-E24237991E3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A71-43C8-B214-E24237991E3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A71-43C8-B214-E24237991E3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A71-43C8-B214-E24237991E3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A71-43C8-B214-E24237991E3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A71-43C8-B214-E24237991E3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A71-43C8-B214-E24237991E3A}"/>
              </c:ext>
            </c:extLst>
          </c:dPt>
          <c:val>
            <c:numRef>
              <c:f>Лист1!$U$27:$U$35</c:f>
              <c:numCache>
                <c:formatCode>0.0</c:formatCode>
                <c:ptCount val="9"/>
                <c:pt idx="0">
                  <c:v>9.7567221510883488</c:v>
                </c:pt>
                <c:pt idx="1">
                  <c:v>9.5006402048655563</c:v>
                </c:pt>
                <c:pt idx="2">
                  <c:v>6.1801109688433629</c:v>
                </c:pt>
                <c:pt idx="3">
                  <c:v>6.658130601792573</c:v>
                </c:pt>
                <c:pt idx="4">
                  <c:v>12.104139991463935</c:v>
                </c:pt>
                <c:pt idx="5">
                  <c:v>10.840802390098165</c:v>
                </c:pt>
                <c:pt idx="6">
                  <c:v>7.6653862569355526</c:v>
                </c:pt>
                <c:pt idx="7">
                  <c:v>6.5215535638070854</c:v>
                </c:pt>
                <c:pt idx="8">
                  <c:v>10.772513871105421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14-433C-BF95-397840CEC4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429424</xdr:colOff>
      <xdr:row>1</xdr:row>
      <xdr:rowOff>135149</xdr:rowOff>
    </xdr:from>
    <xdr:to>
      <xdr:col>25</xdr:col>
      <xdr:colOff>551517</xdr:colOff>
      <xdr:row>7</xdr:row>
      <xdr:rowOff>155348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439618</xdr:colOff>
      <xdr:row>8</xdr:row>
      <xdr:rowOff>108438</xdr:rowOff>
    </xdr:from>
    <xdr:to>
      <xdr:col>25</xdr:col>
      <xdr:colOff>549520</xdr:colOff>
      <xdr:row>14</xdr:row>
      <xdr:rowOff>126021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285750</xdr:colOff>
      <xdr:row>15</xdr:row>
      <xdr:rowOff>13189</xdr:rowOff>
    </xdr:from>
    <xdr:to>
      <xdr:col>27</xdr:col>
      <xdr:colOff>271096</xdr:colOff>
      <xdr:row>24</xdr:row>
      <xdr:rowOff>114300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249115</xdr:colOff>
      <xdr:row>25</xdr:row>
      <xdr:rowOff>181707</xdr:rowOff>
    </xdr:from>
    <xdr:to>
      <xdr:col>27</xdr:col>
      <xdr:colOff>373672</xdr:colOff>
      <xdr:row>35</xdr:row>
      <xdr:rowOff>175845</xdr:rowOff>
    </xdr:to>
    <xdr:graphicFrame macro="">
      <xdr:nvGraphicFramePr>
        <xdr:cNvPr id="6" name="Диаграмма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40"/>
  <sheetViews>
    <sheetView tabSelected="1" topLeftCell="B13" zoomScaleNormal="100" workbookViewId="0">
      <selection activeCell="O23" sqref="O23"/>
    </sheetView>
  </sheetViews>
  <sheetFormatPr defaultRowHeight="15" x14ac:dyDescent="0.25"/>
  <cols>
    <col min="1" max="1" width="28.85546875" bestFit="1" customWidth="1"/>
    <col min="2" max="2" width="21" bestFit="1" customWidth="1"/>
    <col min="3" max="3" width="11.5703125" bestFit="1" customWidth="1"/>
    <col min="4" max="4" width="15.7109375" bestFit="1" customWidth="1"/>
    <col min="6" max="6" width="17.7109375" bestFit="1" customWidth="1"/>
    <col min="7" max="7" width="13.85546875" bestFit="1" customWidth="1"/>
    <col min="8" max="9" width="15.85546875" bestFit="1" customWidth="1"/>
    <col min="10" max="10" width="14.28515625" bestFit="1" customWidth="1"/>
    <col min="11" max="12" width="15" bestFit="1" customWidth="1"/>
    <col min="13" max="14" width="13.140625" bestFit="1" customWidth="1"/>
    <col min="16" max="16" width="9.85546875" customWidth="1"/>
    <col min="17" max="17" width="7" customWidth="1"/>
    <col min="18" max="18" width="8.42578125" customWidth="1"/>
    <col min="19" max="19" width="15.85546875" customWidth="1"/>
    <col min="20" max="20" width="23.28515625" bestFit="1" customWidth="1"/>
    <col min="21" max="21" width="44" bestFit="1" customWidth="1"/>
  </cols>
  <sheetData>
    <row r="2" spans="1:22" x14ac:dyDescent="0.25">
      <c r="A2" t="s">
        <v>19</v>
      </c>
      <c r="B2" t="s">
        <v>20</v>
      </c>
      <c r="C2" t="s">
        <v>2</v>
      </c>
      <c r="D2" t="s">
        <v>3</v>
      </c>
    </row>
    <row r="3" spans="1:22" x14ac:dyDescent="0.25">
      <c r="A3" s="1" t="s">
        <v>0</v>
      </c>
      <c r="D3" t="s">
        <v>4</v>
      </c>
      <c r="E3" t="s">
        <v>5</v>
      </c>
      <c r="F3" t="s">
        <v>52</v>
      </c>
      <c r="G3" t="s">
        <v>13</v>
      </c>
      <c r="H3" t="s">
        <v>10</v>
      </c>
      <c r="I3" t="s">
        <v>9</v>
      </c>
      <c r="J3" t="s">
        <v>6</v>
      </c>
      <c r="K3" t="s">
        <v>8</v>
      </c>
      <c r="L3" t="s">
        <v>7</v>
      </c>
      <c r="M3" t="s">
        <v>11</v>
      </c>
      <c r="N3" t="s">
        <v>12</v>
      </c>
      <c r="P3" t="s">
        <v>45</v>
      </c>
      <c r="Q3" t="s">
        <v>46</v>
      </c>
      <c r="R3" t="s">
        <v>47</v>
      </c>
      <c r="S3" t="s">
        <v>51</v>
      </c>
      <c r="T3" t="s">
        <v>48</v>
      </c>
      <c r="U3" t="s">
        <v>49</v>
      </c>
    </row>
    <row r="4" spans="1:22" x14ac:dyDescent="0.25">
      <c r="B4" s="2" t="s">
        <v>1</v>
      </c>
      <c r="C4" t="s">
        <v>14</v>
      </c>
      <c r="D4">
        <v>22000</v>
      </c>
      <c r="E4">
        <v>7</v>
      </c>
      <c r="F4">
        <v>8</v>
      </c>
      <c r="G4">
        <v>0</v>
      </c>
      <c r="H4">
        <v>2</v>
      </c>
      <c r="I4">
        <v>2</v>
      </c>
      <c r="J4">
        <v>6</v>
      </c>
      <c r="K4">
        <v>1</v>
      </c>
      <c r="L4">
        <v>0</v>
      </c>
      <c r="M4">
        <v>0</v>
      </c>
      <c r="N4">
        <v>0</v>
      </c>
      <c r="P4">
        <f>D4</f>
        <v>22000</v>
      </c>
      <c r="S4">
        <f>25 * (SUM(E4:E4)*$E$40 + SUM(F4:F4)*$F$40 + SUM(G4:G4)*$G$40 + SUM(H4:H4)*$H$40 + SUM(I4:I4)*$I$40 + SUM(J4:J4)*$J$40 + SUM(K4:K4)*$K$40 + SUM(L4:L4)*$L$40 + SUM(M4:M4)*$M$40 + SUM(N4:N4)*$N$40)</f>
        <v>4875</v>
      </c>
      <c r="T4">
        <f>P4+S4</f>
        <v>26875</v>
      </c>
      <c r="U4" s="3">
        <f>T4/$T$8 * 80</f>
        <v>31.699225949133801</v>
      </c>
      <c r="V4" t="s">
        <v>14</v>
      </c>
    </row>
    <row r="5" spans="1:22" x14ac:dyDescent="0.25">
      <c r="C5" t="s">
        <v>15</v>
      </c>
      <c r="D5">
        <v>18000</v>
      </c>
      <c r="E5">
        <v>5</v>
      </c>
      <c r="F5">
        <v>2</v>
      </c>
      <c r="G5">
        <v>0</v>
      </c>
      <c r="H5">
        <v>6</v>
      </c>
      <c r="I5">
        <v>0</v>
      </c>
      <c r="J5">
        <v>6</v>
      </c>
      <c r="K5">
        <v>1</v>
      </c>
      <c r="L5">
        <v>0</v>
      </c>
      <c r="M5">
        <v>4</v>
      </c>
      <c r="N5">
        <v>1</v>
      </c>
      <c r="P5">
        <f t="shared" ref="P5:P7" si="0">D5</f>
        <v>18000</v>
      </c>
      <c r="S5">
        <f t="shared" ref="S5:S7" si="1">25 * (SUM(E5:E5)*$E$40 + SUM(F5:F5)*$F$40 + SUM(G5:G5)*$G$40 + SUM(H5:H5)*$H$40 + SUM(I5:I5)*$I$40 + SUM(J5:J5)*$J$40 + SUM(K5:K5)*$K$40 + SUM(L5:L5)*$L$40 + SUM(M5:M5)*$M$40 + SUM(N5:N5)*$N$40)</f>
        <v>5025</v>
      </c>
      <c r="T5">
        <f t="shared" ref="T5:T7" si="2">P5+S5</f>
        <v>23025</v>
      </c>
      <c r="U5" s="3">
        <f t="shared" ref="U5:U7" si="3">T5/$T$8 * 80</f>
        <v>27.158127534095094</v>
      </c>
      <c r="V5" t="s">
        <v>15</v>
      </c>
    </row>
    <row r="6" spans="1:22" x14ac:dyDescent="0.25">
      <c r="C6" t="s">
        <v>16</v>
      </c>
      <c r="D6">
        <v>10000</v>
      </c>
      <c r="E6">
        <v>3</v>
      </c>
      <c r="F6">
        <v>1</v>
      </c>
      <c r="G6">
        <v>0</v>
      </c>
      <c r="H6">
        <v>6</v>
      </c>
      <c r="I6">
        <v>2</v>
      </c>
      <c r="J6">
        <v>6</v>
      </c>
      <c r="K6">
        <v>0</v>
      </c>
      <c r="L6">
        <v>2</v>
      </c>
      <c r="M6">
        <v>4</v>
      </c>
      <c r="N6">
        <v>0</v>
      </c>
      <c r="P6">
        <f t="shared" si="0"/>
        <v>10000</v>
      </c>
      <c r="S6">
        <f t="shared" si="1"/>
        <v>5425</v>
      </c>
      <c r="T6">
        <f t="shared" si="2"/>
        <v>15425</v>
      </c>
      <c r="U6" s="3">
        <f t="shared" si="3"/>
        <v>18.193881312200514</v>
      </c>
      <c r="V6" t="s">
        <v>16</v>
      </c>
    </row>
    <row r="7" spans="1:22" x14ac:dyDescent="0.25">
      <c r="C7" t="s">
        <v>17</v>
      </c>
      <c r="D7">
        <v>2500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f t="shared" si="0"/>
        <v>2500</v>
      </c>
      <c r="S7">
        <f t="shared" si="1"/>
        <v>0</v>
      </c>
      <c r="T7">
        <f t="shared" si="2"/>
        <v>2500</v>
      </c>
      <c r="U7" s="3">
        <f t="shared" si="3"/>
        <v>2.9487652045705861</v>
      </c>
      <c r="V7" t="s">
        <v>17</v>
      </c>
    </row>
    <row r="8" spans="1:22" x14ac:dyDescent="0.25">
      <c r="P8">
        <f>D4+D5+D6+D7</f>
        <v>52500</v>
      </c>
      <c r="Q8">
        <f>SUM(E4:I7)+SUM(K4:N7)</f>
        <v>57</v>
      </c>
      <c r="R8">
        <f>SUM(E4:N7)</f>
        <v>75</v>
      </c>
      <c r="S8">
        <f>25 * (SUM(E4:E7)*E40 + SUM(F4:F7)*F40 + SUM(G4:G7)*G40 + SUM(H4:H7)*H40 + SUM(I4:I7)*I40 + SUM(J4:J7)*J40 + SUM(K4:K7)*K40 + SUM(L4:L7)*L40 + SUM(M4:M7)*M40 + SUM(N4:N7)*N40)</f>
        <v>15325</v>
      </c>
      <c r="T8">
        <f>P8+S8</f>
        <v>67825</v>
      </c>
      <c r="U8" s="3">
        <f>T8/$T$8 * 80</f>
        <v>80</v>
      </c>
    </row>
    <row r="9" spans="1:22" x14ac:dyDescent="0.25">
      <c r="U9" s="3"/>
    </row>
    <row r="10" spans="1:22" x14ac:dyDescent="0.25">
      <c r="B10" s="2" t="s">
        <v>18</v>
      </c>
      <c r="C10" t="s">
        <v>21</v>
      </c>
      <c r="D10">
        <v>25000</v>
      </c>
      <c r="E10">
        <v>6</v>
      </c>
      <c r="F10">
        <v>4</v>
      </c>
      <c r="G10">
        <v>0</v>
      </c>
      <c r="H10">
        <v>4</v>
      </c>
      <c r="I10">
        <v>0</v>
      </c>
      <c r="J10">
        <v>12</v>
      </c>
      <c r="K10">
        <v>5</v>
      </c>
      <c r="L10">
        <v>2</v>
      </c>
      <c r="M10">
        <v>0</v>
      </c>
      <c r="N10">
        <v>2</v>
      </c>
      <c r="P10">
        <f>D10</f>
        <v>25000</v>
      </c>
      <c r="S10">
        <f>25 * (E10*$E$40 + F10*$F$40 + G10*$G$40 + H10*$H$40 + I10*$I$40 + J10*$J$40 + K10*$K$40 + L10*$L$40 + M10*$M$40 + N10*$N$40)</f>
        <v>7400</v>
      </c>
      <c r="T10">
        <f>P10+S10</f>
        <v>32400</v>
      </c>
      <c r="U10" s="3">
        <f>T10/$T$13 * 80</f>
        <v>27.191188040912667</v>
      </c>
      <c r="V10" t="s">
        <v>21</v>
      </c>
    </row>
    <row r="11" spans="1:22" x14ac:dyDescent="0.25">
      <c r="C11" t="s">
        <v>22</v>
      </c>
      <c r="D11">
        <v>21000</v>
      </c>
      <c r="E11">
        <v>9</v>
      </c>
      <c r="F11">
        <v>8</v>
      </c>
      <c r="G11">
        <v>0</v>
      </c>
      <c r="H11">
        <v>4</v>
      </c>
      <c r="I11">
        <v>0</v>
      </c>
      <c r="J11">
        <v>12</v>
      </c>
      <c r="K11">
        <v>1</v>
      </c>
      <c r="L11">
        <v>4</v>
      </c>
      <c r="M11">
        <v>0</v>
      </c>
      <c r="N11">
        <v>2</v>
      </c>
      <c r="P11">
        <f t="shared" ref="P11:P12" si="4">D11</f>
        <v>21000</v>
      </c>
      <c r="S11">
        <f t="shared" ref="S11:S12" si="5">25 * (E11*$E$40 + F11*$F$40 + G11*$G$40 + H11*$H$40 + I11*$I$40 + J11*$J$40 + K11*$K$40 + L11*$L$40 + M11*$M$40 + N11*$N$40)</f>
        <v>8025</v>
      </c>
      <c r="T11">
        <f t="shared" ref="T11:T12" si="6">P11+S11</f>
        <v>29025</v>
      </c>
      <c r="U11" s="3">
        <f t="shared" ref="U11:U13" si="7">T11/$T$13 * 80</f>
        <v>24.358772619984265</v>
      </c>
      <c r="V11" t="s">
        <v>22</v>
      </c>
    </row>
    <row r="12" spans="1:22" x14ac:dyDescent="0.25">
      <c r="C12" t="s">
        <v>23</v>
      </c>
      <c r="D12">
        <v>27000</v>
      </c>
      <c r="E12">
        <v>6</v>
      </c>
      <c r="F12">
        <v>3</v>
      </c>
      <c r="G12">
        <v>0</v>
      </c>
      <c r="H12">
        <v>4</v>
      </c>
      <c r="I12">
        <v>0</v>
      </c>
      <c r="J12">
        <v>12</v>
      </c>
      <c r="K12">
        <v>4</v>
      </c>
      <c r="L12">
        <v>2</v>
      </c>
      <c r="M12">
        <v>8</v>
      </c>
      <c r="N12">
        <v>0</v>
      </c>
      <c r="P12">
        <f t="shared" si="4"/>
        <v>27000</v>
      </c>
      <c r="S12">
        <f t="shared" si="5"/>
        <v>6900</v>
      </c>
      <c r="T12">
        <f t="shared" si="6"/>
        <v>33900</v>
      </c>
      <c r="U12" s="3">
        <f t="shared" si="7"/>
        <v>28.450039339103071</v>
      </c>
      <c r="V12" t="s">
        <v>23</v>
      </c>
    </row>
    <row r="13" spans="1:22" x14ac:dyDescent="0.25">
      <c r="P13">
        <f>D10+D11+D12</f>
        <v>73000</v>
      </c>
      <c r="Q13">
        <f>SUM(E10:I12)+SUM(K10:N12)</f>
        <v>78</v>
      </c>
      <c r="R13">
        <f>SUM(E10:N12)</f>
        <v>114</v>
      </c>
      <c r="S13">
        <f>SUM(S10:S12)</f>
        <v>22325</v>
      </c>
      <c r="T13">
        <f>P13+S13</f>
        <v>95325</v>
      </c>
      <c r="U13" s="3">
        <f t="shared" si="7"/>
        <v>80</v>
      </c>
    </row>
    <row r="14" spans="1:22" x14ac:dyDescent="0.25">
      <c r="U14" s="3"/>
    </row>
    <row r="15" spans="1:22" x14ac:dyDescent="0.25">
      <c r="A15" s="1" t="s">
        <v>35</v>
      </c>
      <c r="U15" s="3"/>
    </row>
    <row r="16" spans="1:22" x14ac:dyDescent="0.25">
      <c r="B16" s="2" t="s">
        <v>33</v>
      </c>
      <c r="C16" t="s">
        <v>24</v>
      </c>
      <c r="D16">
        <v>28000</v>
      </c>
      <c r="E16">
        <v>19</v>
      </c>
      <c r="F16">
        <v>12</v>
      </c>
      <c r="G16">
        <v>0</v>
      </c>
      <c r="H16">
        <v>4</v>
      </c>
      <c r="I16">
        <v>8</v>
      </c>
      <c r="J16">
        <v>22</v>
      </c>
      <c r="K16">
        <v>8</v>
      </c>
      <c r="L16">
        <v>6</v>
      </c>
      <c r="M16">
        <v>4</v>
      </c>
      <c r="N16">
        <v>0</v>
      </c>
      <c r="P16">
        <f>D16</f>
        <v>28000</v>
      </c>
      <c r="S16">
        <f>25 * (E16*$E$40 + F16*$F$40 + G16*$G$40 + H16*$H$40 + I16*$I$40 + J16*$J$40 + K16*$K$40 + L16*$L$40 + M16*$M$40 + N16*$N$40)</f>
        <v>18475</v>
      </c>
      <c r="T16">
        <f t="shared" ref="T16:T35" si="8">P16+S16</f>
        <v>46475</v>
      </c>
      <c r="U16" s="3">
        <f>T16/$T$25 * 80</f>
        <v>12.777730045536558</v>
      </c>
      <c r="V16" t="s">
        <v>24</v>
      </c>
    </row>
    <row r="17" spans="2:22" x14ac:dyDescent="0.25">
      <c r="C17" t="s">
        <v>25</v>
      </c>
      <c r="D17">
        <v>28000</v>
      </c>
      <c r="E17">
        <v>27</v>
      </c>
      <c r="F17">
        <v>26</v>
      </c>
      <c r="G17">
        <v>0</v>
      </c>
      <c r="H17">
        <v>8</v>
      </c>
      <c r="I17">
        <v>8</v>
      </c>
      <c r="J17">
        <v>96</v>
      </c>
      <c r="K17">
        <v>4</v>
      </c>
      <c r="L17">
        <v>4</v>
      </c>
      <c r="M17">
        <v>12</v>
      </c>
      <c r="N17">
        <v>0</v>
      </c>
      <c r="P17">
        <f t="shared" ref="P17:P24" si="9">D17</f>
        <v>28000</v>
      </c>
      <c r="S17">
        <f t="shared" ref="S17:S24" si="10">25 * (E17*$E$40 + F17*$F$40 + G17*$G$40 + H17*$H$40 + I17*$I$40 + J17*$J$40 + K17*$K$40 + L17*$L$40 + M17*$M$40 + N17*$N$40)</f>
        <v>27675</v>
      </c>
      <c r="T17">
        <f t="shared" si="8"/>
        <v>55675</v>
      </c>
      <c r="U17" s="3">
        <f t="shared" ref="U17:U25" si="11">T17/$T$25 * 80</f>
        <v>15.307156972248475</v>
      </c>
      <c r="V17" t="s">
        <v>25</v>
      </c>
    </row>
    <row r="18" spans="2:22" x14ac:dyDescent="0.25">
      <c r="C18" t="s">
        <v>26</v>
      </c>
      <c r="D18">
        <v>12000</v>
      </c>
      <c r="E18">
        <v>16</v>
      </c>
      <c r="F18">
        <v>15</v>
      </c>
      <c r="G18">
        <v>15</v>
      </c>
      <c r="H18">
        <v>6</v>
      </c>
      <c r="I18">
        <v>12</v>
      </c>
      <c r="J18">
        <v>12</v>
      </c>
      <c r="K18">
        <v>0</v>
      </c>
      <c r="L18">
        <v>16</v>
      </c>
      <c r="M18">
        <v>12</v>
      </c>
      <c r="N18">
        <v>0</v>
      </c>
      <c r="P18">
        <f t="shared" si="9"/>
        <v>12000</v>
      </c>
      <c r="S18">
        <f t="shared" si="10"/>
        <v>34350</v>
      </c>
      <c r="T18">
        <f t="shared" si="8"/>
        <v>46350</v>
      </c>
      <c r="U18" s="3">
        <f t="shared" si="11"/>
        <v>12.743362831858407</v>
      </c>
      <c r="V18" t="s">
        <v>26</v>
      </c>
    </row>
    <row r="19" spans="2:22" x14ac:dyDescent="0.25">
      <c r="C19" t="s">
        <v>27</v>
      </c>
      <c r="D19">
        <v>9000</v>
      </c>
      <c r="E19">
        <v>0</v>
      </c>
      <c r="F19">
        <v>0</v>
      </c>
      <c r="G19">
        <v>0</v>
      </c>
      <c r="H19">
        <v>4</v>
      </c>
      <c r="I19">
        <v>0</v>
      </c>
      <c r="J19">
        <v>12</v>
      </c>
      <c r="K19">
        <v>2</v>
      </c>
      <c r="L19">
        <v>0</v>
      </c>
      <c r="M19">
        <v>4</v>
      </c>
      <c r="N19">
        <v>0</v>
      </c>
      <c r="P19">
        <f t="shared" si="9"/>
        <v>9000</v>
      </c>
      <c r="S19">
        <f t="shared" si="10"/>
        <v>3200</v>
      </c>
      <c r="T19">
        <f t="shared" si="8"/>
        <v>12200</v>
      </c>
      <c r="U19" s="3">
        <f t="shared" si="11"/>
        <v>3.3542400549875415</v>
      </c>
      <c r="V19" t="s">
        <v>27</v>
      </c>
    </row>
    <row r="20" spans="2:22" x14ac:dyDescent="0.25">
      <c r="C20" t="s">
        <v>28</v>
      </c>
      <c r="D20">
        <v>24000</v>
      </c>
      <c r="E20">
        <v>6</v>
      </c>
      <c r="F20">
        <v>10</v>
      </c>
      <c r="G20">
        <v>0</v>
      </c>
      <c r="H20">
        <v>12</v>
      </c>
      <c r="I20">
        <v>16</v>
      </c>
      <c r="J20">
        <v>24</v>
      </c>
      <c r="K20">
        <v>2</v>
      </c>
      <c r="L20">
        <v>0</v>
      </c>
      <c r="M20">
        <v>4</v>
      </c>
      <c r="N20">
        <v>0</v>
      </c>
      <c r="P20">
        <f t="shared" si="9"/>
        <v>24000</v>
      </c>
      <c r="S20">
        <f t="shared" si="10"/>
        <v>18450</v>
      </c>
      <c r="T20">
        <f t="shared" si="8"/>
        <v>42450</v>
      </c>
      <c r="U20" s="3">
        <f t="shared" si="11"/>
        <v>11.671105765100094</v>
      </c>
      <c r="V20" t="s">
        <v>28</v>
      </c>
    </row>
    <row r="21" spans="2:22" x14ac:dyDescent="0.25">
      <c r="C21" t="s">
        <v>29</v>
      </c>
      <c r="D21">
        <v>19500</v>
      </c>
      <c r="E21">
        <v>10</v>
      </c>
      <c r="F21">
        <v>5</v>
      </c>
      <c r="G21">
        <v>0</v>
      </c>
      <c r="H21">
        <v>0</v>
      </c>
      <c r="I21">
        <v>4</v>
      </c>
      <c r="J21">
        <v>0</v>
      </c>
      <c r="K21">
        <v>4</v>
      </c>
      <c r="L21">
        <v>0</v>
      </c>
      <c r="M21">
        <v>0</v>
      </c>
      <c r="N21">
        <v>0</v>
      </c>
      <c r="P21">
        <f t="shared" si="9"/>
        <v>19500</v>
      </c>
      <c r="S21">
        <f t="shared" si="10"/>
        <v>6450</v>
      </c>
      <c r="T21">
        <f t="shared" si="8"/>
        <v>25950</v>
      </c>
      <c r="U21" s="3">
        <f t="shared" si="11"/>
        <v>7.1346335595841568</v>
      </c>
      <c r="V21" t="s">
        <v>29</v>
      </c>
    </row>
    <row r="22" spans="2:22" x14ac:dyDescent="0.25">
      <c r="C22" t="s">
        <v>30</v>
      </c>
      <c r="D22">
        <v>22000</v>
      </c>
      <c r="E22">
        <v>0</v>
      </c>
      <c r="F22">
        <v>8</v>
      </c>
      <c r="G22">
        <v>0</v>
      </c>
      <c r="H22">
        <v>0</v>
      </c>
      <c r="I22">
        <v>8</v>
      </c>
      <c r="J22">
        <v>0</v>
      </c>
      <c r="K22">
        <v>0</v>
      </c>
      <c r="L22">
        <v>0</v>
      </c>
      <c r="M22">
        <v>0</v>
      </c>
      <c r="N22">
        <v>0</v>
      </c>
      <c r="P22">
        <f t="shared" si="9"/>
        <v>22000</v>
      </c>
      <c r="S22">
        <f t="shared" si="10"/>
        <v>5800</v>
      </c>
      <c r="T22">
        <f t="shared" si="8"/>
        <v>27800</v>
      </c>
      <c r="U22" s="3">
        <f t="shared" si="11"/>
        <v>7.6432683220207922</v>
      </c>
      <c r="V22" t="s">
        <v>30</v>
      </c>
    </row>
    <row r="23" spans="2:22" x14ac:dyDescent="0.25">
      <c r="C23" t="s">
        <v>31</v>
      </c>
      <c r="D23">
        <v>8000</v>
      </c>
      <c r="E23">
        <v>0</v>
      </c>
      <c r="F23">
        <v>0</v>
      </c>
      <c r="G23">
        <v>0</v>
      </c>
      <c r="H23">
        <v>4</v>
      </c>
      <c r="I23">
        <v>0</v>
      </c>
      <c r="J23">
        <v>6</v>
      </c>
      <c r="K23">
        <v>0</v>
      </c>
      <c r="L23">
        <v>0</v>
      </c>
      <c r="M23">
        <v>4</v>
      </c>
      <c r="N23">
        <v>0</v>
      </c>
      <c r="P23">
        <f t="shared" si="9"/>
        <v>8000</v>
      </c>
      <c r="S23">
        <f t="shared" si="10"/>
        <v>2150</v>
      </c>
      <c r="T23">
        <f t="shared" si="8"/>
        <v>10150</v>
      </c>
      <c r="U23" s="3">
        <f t="shared" si="11"/>
        <v>2.7906177506658647</v>
      </c>
      <c r="V23" t="s">
        <v>31</v>
      </c>
    </row>
    <row r="24" spans="2:22" x14ac:dyDescent="0.25">
      <c r="C24" t="s">
        <v>32</v>
      </c>
      <c r="D24">
        <v>20000</v>
      </c>
      <c r="E24">
        <v>3</v>
      </c>
      <c r="F24">
        <v>0</v>
      </c>
      <c r="G24">
        <v>0</v>
      </c>
      <c r="H24">
        <v>4</v>
      </c>
      <c r="I24">
        <v>0</v>
      </c>
      <c r="J24">
        <v>12</v>
      </c>
      <c r="K24">
        <v>1</v>
      </c>
      <c r="L24">
        <v>0</v>
      </c>
      <c r="M24">
        <v>6</v>
      </c>
      <c r="N24">
        <v>0</v>
      </c>
      <c r="P24">
        <f t="shared" si="9"/>
        <v>20000</v>
      </c>
      <c r="S24">
        <f t="shared" si="10"/>
        <v>3925</v>
      </c>
      <c r="T24">
        <f t="shared" si="8"/>
        <v>23925</v>
      </c>
      <c r="U24" s="3">
        <f t="shared" si="11"/>
        <v>6.57788469799811</v>
      </c>
      <c r="V24" t="s">
        <v>32</v>
      </c>
    </row>
    <row r="25" spans="2:22" x14ac:dyDescent="0.25">
      <c r="P25">
        <f>SUM(D16:D24)</f>
        <v>170500</v>
      </c>
      <c r="Q25">
        <f>SUM(E16:I24)+SUM(K16:N24)</f>
        <v>363</v>
      </c>
      <c r="R25">
        <f>SUM(E16:N24)</f>
        <v>547</v>
      </c>
      <c r="S25">
        <f>SUM(S16:S24)</f>
        <v>120475</v>
      </c>
      <c r="T25">
        <f t="shared" si="8"/>
        <v>290975</v>
      </c>
      <c r="U25" s="3">
        <f t="shared" si="11"/>
        <v>80</v>
      </c>
    </row>
    <row r="26" spans="2:22" x14ac:dyDescent="0.25">
      <c r="U26" s="3"/>
    </row>
    <row r="27" spans="2:22" x14ac:dyDescent="0.25">
      <c r="B27" s="2" t="s">
        <v>34</v>
      </c>
      <c r="C27" t="s">
        <v>36</v>
      </c>
      <c r="D27">
        <v>9000</v>
      </c>
      <c r="E27">
        <v>7</v>
      </c>
      <c r="F27">
        <v>0</v>
      </c>
      <c r="G27">
        <v>6</v>
      </c>
      <c r="H27">
        <v>6</v>
      </c>
      <c r="I27">
        <v>4</v>
      </c>
      <c r="J27">
        <v>42</v>
      </c>
      <c r="K27">
        <v>2</v>
      </c>
      <c r="L27">
        <v>4</v>
      </c>
      <c r="M27">
        <v>20</v>
      </c>
      <c r="N27">
        <v>1</v>
      </c>
      <c r="P27">
        <f>D27</f>
        <v>9000</v>
      </c>
      <c r="S27">
        <f>25 * (E27*$E$40 + F27*$F$40 + G27*$G$40 + H27*$H$40 + I27*$I$40 + J27*$J$40 + K27*$K$40 + L27*$L$40 + M27*$M$40 + N27*$N$40)</f>
        <v>19575</v>
      </c>
      <c r="T27">
        <f t="shared" si="8"/>
        <v>28575</v>
      </c>
      <c r="U27" s="3">
        <f>T27/$T$36 * 80</f>
        <v>9.7567221510883488</v>
      </c>
      <c r="V27" t="s">
        <v>36</v>
      </c>
    </row>
    <row r="28" spans="2:22" x14ac:dyDescent="0.25">
      <c r="C28" t="s">
        <v>37</v>
      </c>
      <c r="D28">
        <v>20500</v>
      </c>
      <c r="E28">
        <v>7</v>
      </c>
      <c r="F28">
        <v>3</v>
      </c>
      <c r="G28">
        <v>0</v>
      </c>
      <c r="H28">
        <v>4</v>
      </c>
      <c r="I28">
        <v>0</v>
      </c>
      <c r="J28">
        <v>12</v>
      </c>
      <c r="K28">
        <v>2</v>
      </c>
      <c r="L28">
        <v>4</v>
      </c>
      <c r="M28">
        <v>4</v>
      </c>
      <c r="N28">
        <v>1</v>
      </c>
      <c r="P28">
        <f t="shared" ref="P28:P35" si="12">D28</f>
        <v>20500</v>
      </c>
      <c r="S28">
        <f t="shared" ref="S28:S35" si="13">25 * (E28*$E$40 + F28*$F$40 + G28*$G$40 + H28*$H$40 + I28*$I$40 + J28*$J$40 + K28*$K$40 + L28*$L$40 + M28*$M$40 + N28*$N$40)</f>
        <v>7325</v>
      </c>
      <c r="T28">
        <f t="shared" si="8"/>
        <v>27825</v>
      </c>
      <c r="U28" s="3">
        <f t="shared" ref="U28:U36" si="14">T28/$T$36 * 80</f>
        <v>9.5006402048655563</v>
      </c>
      <c r="V28" t="s">
        <v>37</v>
      </c>
    </row>
    <row r="29" spans="2:22" x14ac:dyDescent="0.25">
      <c r="C29" t="s">
        <v>38</v>
      </c>
      <c r="D29">
        <v>12500</v>
      </c>
      <c r="E29">
        <v>3</v>
      </c>
      <c r="F29">
        <v>2</v>
      </c>
      <c r="G29">
        <v>0</v>
      </c>
      <c r="H29">
        <v>4</v>
      </c>
      <c r="I29">
        <v>0</v>
      </c>
      <c r="J29">
        <v>12</v>
      </c>
      <c r="K29">
        <v>1</v>
      </c>
      <c r="L29">
        <v>3</v>
      </c>
      <c r="M29">
        <v>8</v>
      </c>
      <c r="N29">
        <v>0</v>
      </c>
      <c r="P29">
        <f t="shared" si="12"/>
        <v>12500</v>
      </c>
      <c r="S29">
        <f t="shared" si="13"/>
        <v>5600</v>
      </c>
      <c r="T29">
        <f t="shared" si="8"/>
        <v>18100</v>
      </c>
      <c r="U29" s="3">
        <f t="shared" si="14"/>
        <v>6.1801109688433629</v>
      </c>
      <c r="V29" t="s">
        <v>38</v>
      </c>
    </row>
    <row r="30" spans="2:22" x14ac:dyDescent="0.25">
      <c r="C30" t="s">
        <v>39</v>
      </c>
      <c r="D30">
        <v>17000</v>
      </c>
      <c r="E30">
        <v>2</v>
      </c>
      <c r="F30">
        <v>0</v>
      </c>
      <c r="G30">
        <v>0</v>
      </c>
      <c r="H30">
        <v>0</v>
      </c>
      <c r="I30">
        <v>2</v>
      </c>
      <c r="J30">
        <v>6</v>
      </c>
      <c r="K30">
        <v>0</v>
      </c>
      <c r="L30">
        <v>0</v>
      </c>
      <c r="M30">
        <v>2</v>
      </c>
      <c r="N30">
        <v>0</v>
      </c>
      <c r="P30">
        <f t="shared" si="12"/>
        <v>17000</v>
      </c>
      <c r="S30">
        <f t="shared" si="13"/>
        <v>2500</v>
      </c>
      <c r="T30">
        <f t="shared" si="8"/>
        <v>19500</v>
      </c>
      <c r="U30" s="3">
        <f t="shared" si="14"/>
        <v>6.658130601792573</v>
      </c>
      <c r="V30" t="s">
        <v>39</v>
      </c>
    </row>
    <row r="31" spans="2:22" x14ac:dyDescent="0.25">
      <c r="C31" t="s">
        <v>40</v>
      </c>
      <c r="D31">
        <v>26000</v>
      </c>
      <c r="E31">
        <v>6</v>
      </c>
      <c r="F31">
        <v>4</v>
      </c>
      <c r="G31">
        <v>0</v>
      </c>
      <c r="H31">
        <v>4</v>
      </c>
      <c r="I31">
        <v>6</v>
      </c>
      <c r="J31">
        <v>6</v>
      </c>
      <c r="K31">
        <v>1</v>
      </c>
      <c r="L31">
        <v>4</v>
      </c>
      <c r="M31">
        <v>4</v>
      </c>
      <c r="N31">
        <v>0</v>
      </c>
      <c r="P31">
        <f t="shared" si="12"/>
        <v>26000</v>
      </c>
      <c r="S31">
        <f t="shared" si="13"/>
        <v>9450</v>
      </c>
      <c r="T31">
        <f t="shared" si="8"/>
        <v>35450</v>
      </c>
      <c r="U31" s="3">
        <f t="shared" si="14"/>
        <v>12.104139991463935</v>
      </c>
      <c r="V31" t="s">
        <v>40</v>
      </c>
    </row>
    <row r="32" spans="2:22" x14ac:dyDescent="0.25">
      <c r="C32" t="s">
        <v>41</v>
      </c>
      <c r="D32">
        <v>23000</v>
      </c>
      <c r="E32">
        <v>10</v>
      </c>
      <c r="F32">
        <v>10</v>
      </c>
      <c r="G32">
        <v>0</v>
      </c>
      <c r="H32">
        <v>4</v>
      </c>
      <c r="I32">
        <v>4</v>
      </c>
      <c r="J32">
        <v>12</v>
      </c>
      <c r="K32">
        <v>0</v>
      </c>
      <c r="L32">
        <v>2</v>
      </c>
      <c r="M32">
        <v>2</v>
      </c>
      <c r="N32">
        <v>0</v>
      </c>
      <c r="P32">
        <f t="shared" si="12"/>
        <v>23000</v>
      </c>
      <c r="S32">
        <f t="shared" si="13"/>
        <v>8750</v>
      </c>
      <c r="T32">
        <f t="shared" si="8"/>
        <v>31750</v>
      </c>
      <c r="U32" s="3">
        <f t="shared" si="14"/>
        <v>10.840802390098165</v>
      </c>
      <c r="V32" t="s">
        <v>41</v>
      </c>
    </row>
    <row r="33" spans="3:22" x14ac:dyDescent="0.25">
      <c r="C33" t="s">
        <v>42</v>
      </c>
      <c r="D33">
        <v>12500</v>
      </c>
      <c r="E33">
        <v>6</v>
      </c>
      <c r="F33">
        <v>2</v>
      </c>
      <c r="G33">
        <v>0</v>
      </c>
      <c r="H33">
        <v>6</v>
      </c>
      <c r="I33">
        <v>0</v>
      </c>
      <c r="J33">
        <v>18</v>
      </c>
      <c r="K33">
        <v>0</v>
      </c>
      <c r="L33">
        <v>4</v>
      </c>
      <c r="M33">
        <v>6</v>
      </c>
      <c r="N33">
        <v>4</v>
      </c>
      <c r="P33">
        <f t="shared" si="12"/>
        <v>12500</v>
      </c>
      <c r="S33">
        <f t="shared" si="13"/>
        <v>9950</v>
      </c>
      <c r="T33">
        <f t="shared" si="8"/>
        <v>22450</v>
      </c>
      <c r="U33" s="3">
        <f t="shared" si="14"/>
        <v>7.6653862569355526</v>
      </c>
      <c r="V33" t="s">
        <v>42</v>
      </c>
    </row>
    <row r="34" spans="3:22" x14ac:dyDescent="0.25">
      <c r="C34" t="s">
        <v>43</v>
      </c>
      <c r="D34">
        <v>17000</v>
      </c>
      <c r="E34">
        <v>2</v>
      </c>
      <c r="F34">
        <v>0</v>
      </c>
      <c r="G34">
        <v>0</v>
      </c>
      <c r="H34">
        <v>2</v>
      </c>
      <c r="I34">
        <v>0</v>
      </c>
      <c r="J34">
        <v>6</v>
      </c>
      <c r="K34">
        <v>0</v>
      </c>
      <c r="L34">
        <v>0</v>
      </c>
      <c r="M34">
        <v>4</v>
      </c>
      <c r="N34">
        <v>0</v>
      </c>
      <c r="P34">
        <f t="shared" si="12"/>
        <v>17000</v>
      </c>
      <c r="S34">
        <f t="shared" si="13"/>
        <v>2100</v>
      </c>
      <c r="T34">
        <f t="shared" si="8"/>
        <v>19100</v>
      </c>
      <c r="U34" s="3">
        <f t="shared" si="14"/>
        <v>6.5215535638070854</v>
      </c>
      <c r="V34" t="s">
        <v>43</v>
      </c>
    </row>
    <row r="35" spans="3:22" x14ac:dyDescent="0.25">
      <c r="C35" t="s">
        <v>44</v>
      </c>
      <c r="D35">
        <v>17000</v>
      </c>
      <c r="E35">
        <v>6</v>
      </c>
      <c r="F35">
        <v>3</v>
      </c>
      <c r="G35">
        <v>6</v>
      </c>
      <c r="H35">
        <v>8</v>
      </c>
      <c r="I35">
        <v>2</v>
      </c>
      <c r="J35">
        <v>24</v>
      </c>
      <c r="K35">
        <v>3</v>
      </c>
      <c r="L35">
        <v>0</v>
      </c>
      <c r="M35">
        <v>14</v>
      </c>
      <c r="N35">
        <v>0</v>
      </c>
      <c r="P35">
        <f t="shared" si="12"/>
        <v>17000</v>
      </c>
      <c r="S35">
        <f t="shared" si="13"/>
        <v>14550</v>
      </c>
      <c r="T35">
        <f t="shared" si="8"/>
        <v>31550</v>
      </c>
      <c r="U35" s="3">
        <f t="shared" si="14"/>
        <v>10.772513871105421</v>
      </c>
      <c r="V35" t="s">
        <v>44</v>
      </c>
    </row>
    <row r="36" spans="3:22" x14ac:dyDescent="0.25">
      <c r="P36">
        <f>SUM(D27:D35)</f>
        <v>154500</v>
      </c>
      <c r="Q36">
        <f>SUM(E27:I35)+SUM(K27:N35)</f>
        <v>241</v>
      </c>
      <c r="R36">
        <f>SUM(E27:N35)</f>
        <v>379</v>
      </c>
      <c r="S36">
        <f>SUM(S27:S35)</f>
        <v>79800</v>
      </c>
      <c r="T36">
        <f>P36+S36</f>
        <v>234300</v>
      </c>
      <c r="U36" s="3">
        <f t="shared" si="14"/>
        <v>80</v>
      </c>
    </row>
    <row r="38" spans="3:22" x14ac:dyDescent="0.25">
      <c r="D38" t="s">
        <v>50</v>
      </c>
    </row>
    <row r="39" spans="3:22" x14ac:dyDescent="0.25">
      <c r="E39" t="s">
        <v>5</v>
      </c>
      <c r="F39" t="s">
        <v>53</v>
      </c>
      <c r="G39" t="s">
        <v>13</v>
      </c>
      <c r="H39" t="s">
        <v>10</v>
      </c>
      <c r="I39" t="s">
        <v>9</v>
      </c>
      <c r="J39" t="s">
        <v>6</v>
      </c>
      <c r="K39" t="s">
        <v>8</v>
      </c>
      <c r="L39" t="s">
        <v>7</v>
      </c>
      <c r="M39" t="s">
        <v>11</v>
      </c>
      <c r="N39" t="s">
        <v>12</v>
      </c>
    </row>
    <row r="40" spans="3:22" x14ac:dyDescent="0.25">
      <c r="E40">
        <v>9</v>
      </c>
      <c r="F40">
        <v>4</v>
      </c>
      <c r="G40">
        <v>30</v>
      </c>
      <c r="H40">
        <v>10</v>
      </c>
      <c r="I40">
        <v>25</v>
      </c>
      <c r="J40">
        <v>3</v>
      </c>
      <c r="K40">
        <v>12</v>
      </c>
      <c r="L40">
        <v>15</v>
      </c>
      <c r="M40">
        <v>7</v>
      </c>
      <c r="N40">
        <v>30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 Иванов</dc:creator>
  <cp:lastModifiedBy>Иван Иванов</cp:lastModifiedBy>
  <dcterms:created xsi:type="dcterms:W3CDTF">2026-04-27T18:23:43Z</dcterms:created>
  <dcterms:modified xsi:type="dcterms:W3CDTF">2026-07-28T20:15:17Z</dcterms:modified>
</cp:coreProperties>
</file>